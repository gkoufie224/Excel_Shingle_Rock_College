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7bb8488f75e612/Desktop/CTS-130 SPREADSHEET/Module 2 project 2/"/>
    </mc:Choice>
  </mc:AlternateContent>
  <xr:revisionPtr revIDLastSave="38" documentId="8_{AD27DB11-2C6F-48C8-8319-D5E6C0A12FCF}" xr6:coauthVersionLast="47" xr6:coauthVersionMax="47" xr10:uidLastSave="{041AF830-622D-4E83-8F42-5AA82D5E1A4D}"/>
  <bookViews>
    <workbookView xWindow="-120" yWindow="-120" windowWidth="20730" windowHeight="11160" activeTab="1" xr2:uid="{00000000-000D-0000-FFFF-FFFF00000000}"/>
  </bookViews>
  <sheets>
    <sheet name="Documentation" sheetId="6" r:id="rId1"/>
    <sheet name="Applications" sheetId="8" r:id="rId2"/>
  </sheets>
  <definedNames>
    <definedName name="_xlnm.Print_Area" localSheetId="1">Applications!$A$1:$F$60</definedName>
    <definedName name="_xlnm.Print_Titles" localSheetId="1">Applications!$7:$7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8" l="1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C16" i="8"/>
  <c r="C47" i="8"/>
  <c r="F60" i="8"/>
  <c r="C9" i="8"/>
  <c r="C10" i="8"/>
  <c r="C11" i="8"/>
  <c r="C12" i="8"/>
  <c r="C13" i="8"/>
  <c r="C14" i="8"/>
  <c r="C15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8" i="8"/>
  <c r="C49" i="8"/>
  <c r="C50" i="8"/>
  <c r="C51" i="8"/>
  <c r="C52" i="8"/>
  <c r="C53" i="8"/>
  <c r="C54" i="8"/>
  <c r="C55" i="8"/>
  <c r="C56" i="8"/>
  <c r="C57" i="8"/>
  <c r="C58" i="8"/>
  <c r="C59" i="8"/>
  <c r="C8" i="8"/>
  <c r="B60" i="8"/>
  <c r="C60" i="8" l="1"/>
</calcChain>
</file>

<file path=xl/sharedStrings.xml><?xml version="1.0" encoding="utf-8"?>
<sst xmlns="http://schemas.openxmlformats.org/spreadsheetml/2006/main" count="69" uniqueCount="68">
  <si>
    <t>Note: Do not edit this sheet. If your name does not appear in cell B6, please download a new copy of the file from the SAM website.</t>
  </si>
  <si>
    <t>George Koufie</t>
  </si>
  <si>
    <t>Author:</t>
  </si>
  <si>
    <t>Shingle Rock College</t>
  </si>
  <si>
    <t>As of</t>
  </si>
  <si>
    <t>State</t>
  </si>
  <si>
    <t>% of total</t>
  </si>
  <si>
    <t>Difference</t>
  </si>
  <si>
    <t>% of population</t>
  </si>
  <si>
    <t>Budget</t>
  </si>
  <si>
    <t xml:space="preserve">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</si>
  <si>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</si>
  <si>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</si>
  <si>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</si>
  <si>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</si>
  <si>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</si>
  <si>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</si>
  <si>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</si>
  <si>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</si>
  <si>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</si>
  <si>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</si>
  <si>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</si>
  <si>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</si>
  <si>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</si>
  <si>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</si>
  <si>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</si>
  <si>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</si>
  <si>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</si>
  <si>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</si>
  <si>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</si>
  <si>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</si>
  <si>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</si>
  <si>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</si>
  <si>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</si>
  <si>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</si>
  <si>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</si>
  <si>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</si>
  <si>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</si>
  <si>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</si>
  <si>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</si>
  <si>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</si>
  <si>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</si>
  <si>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</si>
  <si>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</si>
  <si>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</si>
  <si>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</si>
  <si>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</si>
  <si>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</si>
  <si>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</si>
  <si>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</si>
  <si>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</si>
  <si>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</si>
  <si>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</si>
  <si>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</si>
  <si>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</si>
  <si>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</si>
  <si>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</si>
  <si>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</si>
  <si>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</si>
  <si>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</si>
  <si>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</si>
  <si>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</si>
  <si>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</si>
  <si>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FORMAT WORKBOOK TEXT AND DATA</t>
  </si>
  <si>
    <r>
      <t xml:space="preserve">New Perspectives Excel 2019 | </t>
    </r>
    <r>
      <rPr>
        <sz val="10"/>
        <color theme="0"/>
        <rFont val="Century Gothic"/>
        <family val="2"/>
      </rPr>
      <t>Module 2: End of Module Project 2</t>
    </r>
  </si>
  <si>
    <t>Class of 2025 Applications</t>
  </si>
  <si>
    <t>Total Applications received</t>
  </si>
  <si>
    <t>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</si>
</sst>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"/>
    <numFmt numFmtId="167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Century Gothic"/>
      <family val="2"/>
    </font>
    <font>
      <sz val="10"/>
      <name val="Century Gothic"/>
      <family val="2"/>
    </font>
    <font>
      <i/>
      <sz val="10"/>
      <color rgb="FFCC6600"/>
      <name val="Century Gothic"/>
      <family val="2"/>
    </font>
    <font>
      <sz val="11"/>
      <color rgb="FF000000"/>
      <name val="Century Gothic"/>
      <family val="2"/>
    </font>
    <font>
      <sz val="28"/>
      <color rgb="FF0070C0"/>
      <name val="Century Gothic"/>
      <family val="2"/>
    </font>
    <font>
      <sz val="10"/>
      <color rgb="FF0070C0"/>
      <name val="Century Gothic"/>
      <family val="2"/>
    </font>
    <font>
      <sz val="11"/>
      <color rgb="FF4B4C4C"/>
      <name val="Century Gothic"/>
      <family val="2"/>
    </font>
    <font>
      <sz val="10"/>
      <color theme="0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Verdana"/>
      <family val="2"/>
    </font>
    <font>
      <b/>
      <sz val="12"/>
      <color theme="0"/>
      <name val="Verdan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3460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8">
    <border>
      <left/>
      <right/>
      <top/>
      <bottom/>
      <diagonal/>
    </border>
    <border>
      <left/>
      <right style="thick">
        <color rgb="FF93A5B2"/>
      </right>
      <top/>
      <bottom/>
      <diagonal/>
    </border>
    <border>
      <left/>
      <right/>
      <top/>
      <bottom style="thin">
        <color rgb="FF93A5B2"/>
      </bottom>
      <diagonal/>
    </border>
    <border>
      <left/>
      <right/>
      <top/>
      <bottom style="thick">
        <color rgb="FF93A5B2"/>
      </bottom>
      <diagonal/>
    </border>
    <border>
      <left/>
      <right style="thick">
        <color rgb="FF93A5B2"/>
      </right>
      <top/>
      <bottom style="thick">
        <color rgb="FF93A5B2"/>
      </bottom>
      <diagonal/>
    </border>
    <border>
      <left/>
      <right style="thick">
        <color rgb="FF93A5B2"/>
      </right>
      <top/>
      <bottom style="thin">
        <color rgb="FFE34601"/>
      </bottom>
      <diagonal/>
    </border>
    <border>
      <left/>
      <right/>
      <top/>
      <bottom style="thin">
        <color rgb="FFE346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">
    <xf numFmtId="0" fontId="0" fillId="0" borderId="0"/>
    <xf numFmtId="0" fontId="1" fillId="0" borderId="0"/>
    <xf numFmtId="0" fontId="5" fillId="2" borderId="0">
      <alignment vertical="top" wrapText="1"/>
    </xf>
    <xf numFmtId="0" fontId="6" fillId="2" borderId="0">
      <alignment vertical="top" wrapText="1"/>
    </xf>
    <xf numFmtId="0" fontId="5" fillId="2" borderId="0">
      <alignment vertical="top" wrapText="1"/>
    </xf>
    <xf numFmtId="0" fontId="1" fillId="0" borderId="0"/>
    <xf numFmtId="0" fontId="12" fillId="5" borderId="0">
      <alignment horizontal="center"/>
    </xf>
    <xf numFmtId="0" fontId="11" fillId="6" borderId="0">
      <alignment horizontal="center"/>
    </xf>
    <xf numFmtId="0" fontId="14" fillId="7" borderId="0" applyNumberFormat="0" applyBorder="0" applyAlignment="0" applyProtection="0"/>
    <xf numFmtId="0" fontId="13" fillId="8" borderId="0" applyNumberFormat="0" applyBorder="0" applyAlignment="0" applyProtection="0"/>
    <xf numFmtId="44" fontId="13" fillId="0" borderId="0" applyFont="0" applyFill="0" applyBorder="0" applyAlignment="0" applyProtection="0"/>
    <xf numFmtId="0" fontId="17" fillId="0" borderId="7" applyNumberFormat="0" applyFill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3" fillId="11" borderId="0" applyNumberFormat="0" applyBorder="0" applyAlignment="0" applyProtection="0"/>
  </cellStyleXfs>
  <cellXfs count="37">
    <xf numFmtId="0" fontId="0" fillId="0" borderId="0" xfId="0"/>
    <xf numFmtId="0" fontId="3" fillId="2" borderId="0" xfId="5" applyFont="1" applyFill="1" applyBorder="1" applyAlignment="1">
      <alignment horizontal="left"/>
    </xf>
    <xf numFmtId="0" fontId="3" fillId="2" borderId="1" xfId="5" applyFont="1" applyFill="1" applyBorder="1" applyAlignment="1">
      <alignment horizontal="left"/>
    </xf>
    <xf numFmtId="0" fontId="1" fillId="0" borderId="0" xfId="5" applyFill="1"/>
    <xf numFmtId="0" fontId="1" fillId="0" borderId="0" xfId="5" applyFill="1" applyAlignment="1">
      <alignment wrapText="1"/>
    </xf>
    <xf numFmtId="0" fontId="7" fillId="2" borderId="1" xfId="5" applyFont="1" applyFill="1" applyBorder="1" applyAlignment="1">
      <alignment horizontal="left" wrapText="1"/>
    </xf>
    <xf numFmtId="0" fontId="3" fillId="2" borderId="0" xfId="5" applyFont="1" applyFill="1" applyBorder="1" applyAlignment="1">
      <alignment horizontal="right"/>
    </xf>
    <xf numFmtId="0" fontId="4" fillId="3" borderId="2" xfId="5" applyFont="1" applyFill="1" applyBorder="1" applyAlignment="1">
      <alignment horizontal="left"/>
    </xf>
    <xf numFmtId="0" fontId="8" fillId="2" borderId="0" xfId="2" applyFont="1" applyBorder="1" applyAlignment="1">
      <alignment horizontal="left" vertical="top" wrapText="1"/>
    </xf>
    <xf numFmtId="0" fontId="6" fillId="2" borderId="0" xfId="3" applyBorder="1" applyAlignment="1">
      <alignment horizontal="left" vertical="top" wrapText="1"/>
    </xf>
    <xf numFmtId="0" fontId="3" fillId="0" borderId="0" xfId="5" applyFont="1" applyFill="1" applyBorder="1" applyAlignment="1">
      <alignment vertical="center"/>
    </xf>
    <xf numFmtId="0" fontId="3" fillId="4" borderId="5" xfId="5" applyFont="1" applyFill="1" applyBorder="1" applyAlignment="1">
      <alignment horizontal="left"/>
    </xf>
    <xf numFmtId="0" fontId="9" fillId="4" borderId="6" xfId="5" applyFont="1" applyFill="1" applyBorder="1" applyAlignment="1">
      <alignment vertical="center"/>
    </xf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5" fillId="7" borderId="0" xfId="8" applyFont="1" applyAlignment="1">
      <alignment horizontal="center"/>
    </xf>
    <xf numFmtId="0" fontId="16" fillId="8" borderId="0" xfId="9" applyFont="1"/>
    <xf numFmtId="0" fontId="10" fillId="4" borderId="6" xfId="5" applyFont="1" applyFill="1" applyBorder="1" applyAlignment="1">
      <alignment vertical="center"/>
    </xf>
    <xf numFmtId="14" fontId="0" fillId="0" borderId="0" xfId="0" applyNumberFormat="1" applyAlignment="1">
      <alignment horizontal="center"/>
    </xf>
    <xf numFmtId="0" fontId="2" fillId="2" borderId="0" xfId="5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3" xfId="5" applyFont="1" applyFill="1" applyBorder="1" applyAlignment="1">
      <alignment horizontal="center" vertical="center" wrapText="1"/>
    </xf>
    <xf numFmtId="0" fontId="2" fillId="2" borderId="4" xfId="5" applyFont="1" applyFill="1" applyBorder="1" applyAlignment="1">
      <alignment horizontal="center" vertical="center" wrapText="1"/>
    </xf>
    <xf numFmtId="0" fontId="18" fillId="10" borderId="0" xfId="13" applyFont="1" applyAlignment="1">
      <alignment horizontal="center"/>
    </xf>
    <xf numFmtId="0" fontId="16" fillId="11" borderId="0" xfId="14" applyFont="1" applyAlignment="1">
      <alignment horizontal="center"/>
    </xf>
    <xf numFmtId="0" fontId="16" fillId="9" borderId="0" xfId="12" applyFont="1" applyAlignment="1">
      <alignment horizontal="right"/>
    </xf>
    <xf numFmtId="0" fontId="19" fillId="9" borderId="0" xfId="12" applyFont="1"/>
    <xf numFmtId="167" fontId="19" fillId="9" borderId="0" xfId="12" applyNumberFormat="1" applyFont="1" applyAlignment="1">
      <alignment horizontal="center"/>
    </xf>
    <xf numFmtId="1" fontId="16" fillId="0" borderId="0" xfId="0" applyNumberFormat="1" applyFont="1"/>
    <xf numFmtId="10" fontId="16" fillId="0" borderId="0" xfId="0" applyNumberFormat="1" applyFont="1"/>
    <xf numFmtId="44" fontId="16" fillId="0" borderId="0" xfId="10" applyFont="1"/>
    <xf numFmtId="1" fontId="17" fillId="0" borderId="7" xfId="11" applyNumberFormat="1"/>
    <xf numFmtId="10" fontId="17" fillId="0" borderId="7" xfId="11" applyNumberFormat="1"/>
    <xf numFmtId="44" fontId="17" fillId="0" borderId="7" xfId="11" applyNumberFormat="1"/>
  </cellXfs>
  <cellStyles count="15">
    <cellStyle name="20% - Accent5" xfId="9" builtinId="46"/>
    <cellStyle name="40% - Accent5" xfId="12" builtinId="47"/>
    <cellStyle name="40% - Accent6" xfId="14" builtinId="51"/>
    <cellStyle name="Accent5" xfId="8" builtinId="45"/>
    <cellStyle name="Accent6" xfId="13" builtinId="49"/>
    <cellStyle name="Currency" xfId="10" builtinId="4"/>
    <cellStyle name="FM Heading" xfId="6" xr:uid="{00000000-0005-0000-0000-000002000000}"/>
    <cellStyle name="FM Subheading" xfId="7" xr:uid="{00000000-0005-0000-0000-000003000000}"/>
    <cellStyle name="Normal" xfId="0" builtinId="0"/>
    <cellStyle name="Normal 2" xfId="1" xr:uid="{00000000-0005-0000-0000-000005000000}"/>
    <cellStyle name="Normal 2 2" xfId="5" xr:uid="{00000000-0005-0000-0000-000006000000}"/>
    <cellStyle name="Project Header" xfId="4" xr:uid="{00000000-0005-0000-0000-000007000000}"/>
    <cellStyle name="Student Name" xfId="3" xr:uid="{00000000-0005-0000-0000-000008000000}"/>
    <cellStyle name="Submission" xfId="2" xr:uid="{00000000-0005-0000-0000-000009000000}"/>
    <cellStyle name="Total" xfId="11" builtinId="25"/>
  </cellStyles>
  <dxfs count="9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4689677</xdr:colOff>
      <xdr:row>0</xdr:row>
      <xdr:rowOff>0</xdr:rowOff>
    </xdr:from>
    <xdr:to>
      <xdr:col>3</xdr:col>
      <xdr:colOff>0</xdr:colOff>
      <xdr:row>1</xdr:row>
      <xdr:rowOff>7640</xdr:rowOff>
    </xdr:to>
    <xdr:pic>
      <xdr:nvPicPr>
        <xdr:cNvPr id="2" name="Picture 1" descr="SAM logo" title="SAM logo">
          <a:extLst>
            <a:ext uri="{FF2B5EF4-FFF2-40B4-BE49-F238E27FC236}">
              <a16:creationId xmlns:a16="http://schemas.microsoft.com/office/drawing/2014/main" id="{C0C22176-135C-474F-AB8A-1448BB12E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4037" y="0"/>
          <a:ext cx="1787323" cy="41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zoomScaleNormal="100" workbookViewId="0">
      <selection activeCell="E1" sqref="E1"/>
    </sheetView>
  </sheetViews>
  <sheetFormatPr defaultColWidth="8.85546875" defaultRowHeight="12.75" x14ac:dyDescent="0.2"/>
  <cols>
    <col min="1" max="1" width="8.7109375" style="3" customWidth="1"/>
    <col min="2" max="2" width="90.7109375" style="3" customWidth="1"/>
    <col min="3" max="3" width="3.7109375" style="3" customWidth="1"/>
    <col min="4" max="16384" width="8.85546875" style="3"/>
  </cols>
  <sheetData>
    <row r="1" spans="1:3" ht="32.25" customHeight="1" x14ac:dyDescent="0.25">
      <c r="A1" s="12"/>
      <c r="B1" s="20" t="s">
        <v>64</v>
      </c>
      <c r="C1" s="11"/>
    </row>
    <row r="2" spans="1:3" ht="5.0999999999999996" customHeight="1" x14ac:dyDescent="0.25">
      <c r="A2" s="10"/>
      <c r="B2"/>
      <c r="C2" s="2"/>
    </row>
    <row r="3" spans="1:3" s="4" customFormat="1" ht="34.5" x14ac:dyDescent="0.25">
      <c r="A3" s="1"/>
      <c r="B3" s="9" t="s">
        <v>3</v>
      </c>
      <c r="C3" s="5"/>
    </row>
    <row r="4" spans="1:3" ht="16.5" x14ac:dyDescent="0.25">
      <c r="A4" s="1"/>
      <c r="B4" s="8" t="s">
        <v>63</v>
      </c>
      <c r="C4" s="2"/>
    </row>
    <row r="5" spans="1:3" ht="15.75" customHeight="1" x14ac:dyDescent="0.25">
      <c r="A5" s="1"/>
      <c r="B5" s="1"/>
      <c r="C5" s="2"/>
    </row>
    <row r="6" spans="1:3" ht="13.5" x14ac:dyDescent="0.25">
      <c r="A6" s="6" t="s">
        <v>2</v>
      </c>
      <c r="B6" s="7" t="s">
        <v>1</v>
      </c>
      <c r="C6" s="2"/>
    </row>
    <row r="7" spans="1:3" ht="13.5" x14ac:dyDescent="0.25">
      <c r="A7" s="1"/>
      <c r="B7" s="1"/>
      <c r="C7" s="2"/>
    </row>
    <row r="8" spans="1:3" x14ac:dyDescent="0.2">
      <c r="A8" s="22" t="s">
        <v>0</v>
      </c>
      <c r="B8" s="22"/>
      <c r="C8" s="23"/>
    </row>
    <row r="9" spans="1:3" x14ac:dyDescent="0.2">
      <c r="A9" s="22"/>
      <c r="B9" s="22"/>
      <c r="C9" s="23"/>
    </row>
    <row r="10" spans="1:3" ht="13.5" thickBot="1" x14ac:dyDescent="0.25">
      <c r="A10" s="24"/>
      <c r="B10" s="24"/>
      <c r="C10" s="25"/>
    </row>
    <row r="11" spans="1:3" ht="13.5" thickTop="1" x14ac:dyDescent="0.2"/>
  </sheetData>
  <mergeCells count="1">
    <mergeCell ref="A8:C10"/>
  </mergeCells>
  <dataValidations count="2">
    <dataValidation allowBlank="1" showInputMessage="1" showErrorMessage="1" error="                                                                " sqref="J3" xr:uid="{00000000-0002-0000-0000-000000000000}"/>
    <dataValidation allowBlank="1" error="pavI8MeUFtEyxX2I4tky0f39a7ba-a74f-4900-ba19-dd9777e1b344" sqref="A1:C2 A3:C3 A4:C11" xr:uid="{00000000-0002-0000-0000-000001000000}"/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abSelected="1" zoomScaleNormal="100" workbookViewId="0">
      <selection sqref="A1:F60"/>
    </sheetView>
  </sheetViews>
  <sheetFormatPr defaultRowHeight="15" x14ac:dyDescent="0.25"/>
  <cols>
    <col min="1" max="2" width="25.7109375" customWidth="1"/>
    <col min="3" max="6" width="18.7109375" customWidth="1"/>
    <col min="9" max="9" width="10.140625" bestFit="1" customWidth="1"/>
  </cols>
  <sheetData>
    <row r="1" spans="1:13" ht="23.25" x14ac:dyDescent="0.35">
      <c r="A1" s="26" t="s">
        <v>3</v>
      </c>
      <c r="B1" s="26"/>
      <c r="C1" s="26"/>
      <c r="D1" s="26"/>
      <c r="E1" s="26"/>
      <c r="F1" s="26"/>
    </row>
    <row r="2" spans="1:13" ht="15.75" x14ac:dyDescent="0.25">
      <c r="A2" s="27" t="s">
        <v>65</v>
      </c>
      <c r="B2" s="27"/>
      <c r="C2" s="27"/>
      <c r="D2" s="27"/>
      <c r="E2" s="27"/>
      <c r="F2" s="27"/>
    </row>
    <row r="4" spans="1:13" ht="15.75" x14ac:dyDescent="0.25">
      <c r="A4" s="28" t="s">
        <v>4</v>
      </c>
      <c r="B4" s="30">
        <v>44270</v>
      </c>
      <c r="C4" s="21"/>
    </row>
    <row r="5" spans="1:13" ht="15.75" x14ac:dyDescent="0.25">
      <c r="A5" s="28" t="s">
        <v>66</v>
      </c>
      <c r="B5" s="29">
        <v>6797</v>
      </c>
    </row>
    <row r="7" spans="1:13" ht="18.75" x14ac:dyDescent="0.3">
      <c r="A7" s="18" t="s">
        <v>5</v>
      </c>
      <c r="B7" s="18" t="s">
        <v>67</v>
      </c>
      <c r="C7" s="18" t="s">
        <v>6</v>
      </c>
      <c r="D7" s="18" t="s">
        <v>8</v>
      </c>
      <c r="E7" s="18" t="s">
        <v>7</v>
      </c>
      <c r="F7" s="18" t="s">
        <v>9</v>
      </c>
    </row>
    <row r="8" spans="1:13" ht="15.75" x14ac:dyDescent="0.25">
      <c r="A8" s="19" t="s">
        <v>11</v>
      </c>
      <c r="B8" s="31">
        <v>79</v>
      </c>
      <c r="C8" s="32">
        <f>B8/$B$5</f>
        <v>1.1622774753567751E-2</v>
      </c>
      <c r="D8" s="32">
        <v>1.5100000000000001E-2</v>
      </c>
      <c r="E8" s="32">
        <f>C8-D8</f>
        <v>-3.4772252464322501E-3</v>
      </c>
      <c r="F8" s="33">
        <v>19022.218356000001</v>
      </c>
      <c r="I8" s="16"/>
      <c r="L8" s="15"/>
      <c r="M8" s="17"/>
    </row>
    <row r="9" spans="1:13" ht="15.75" x14ac:dyDescent="0.25">
      <c r="A9" s="19" t="s">
        <v>12</v>
      </c>
      <c r="B9" s="31">
        <v>29</v>
      </c>
      <c r="C9" s="32">
        <f t="shared" ref="C9:C59" si="0">B9/$B$5</f>
        <v>4.2665882006767695E-3</v>
      </c>
      <c r="D9" s="32">
        <v>2.3E-3</v>
      </c>
      <c r="E9" s="32">
        <f t="shared" ref="E9:E59" si="1">C9-D9</f>
        <v>1.9665882006767695E-3</v>
      </c>
      <c r="F9" s="33">
        <v>1498.6675799999998</v>
      </c>
      <c r="I9" s="16"/>
      <c r="L9" s="15"/>
      <c r="M9" s="17"/>
    </row>
    <row r="10" spans="1:13" ht="15.75" x14ac:dyDescent="0.25">
      <c r="A10" s="19" t="s">
        <v>13</v>
      </c>
      <c r="B10" s="31">
        <v>330</v>
      </c>
      <c r="C10" s="32">
        <f t="shared" si="0"/>
        <v>4.8550831249080474E-2</v>
      </c>
      <c r="D10" s="32">
        <v>2.1499999999999998E-2</v>
      </c>
      <c r="E10" s="32">
        <f t="shared" si="1"/>
        <v>2.7050831249080476E-2</v>
      </c>
      <c r="F10" s="33">
        <v>14476.260029999999</v>
      </c>
      <c r="I10" s="16"/>
      <c r="L10" s="15"/>
      <c r="M10" s="17"/>
    </row>
    <row r="11" spans="1:13" ht="15.75" x14ac:dyDescent="0.25">
      <c r="A11" s="19" t="s">
        <v>14</v>
      </c>
      <c r="B11" s="31">
        <v>101</v>
      </c>
      <c r="C11" s="32">
        <f t="shared" si="0"/>
        <v>1.4859496836839783E-2</v>
      </c>
      <c r="D11" s="32">
        <v>9.2999999999999992E-3</v>
      </c>
      <c r="E11" s="32">
        <f t="shared" si="1"/>
        <v>5.5594968368397838E-3</v>
      </c>
      <c r="F11" s="33">
        <v>7608.4529459999994</v>
      </c>
      <c r="I11" s="16"/>
      <c r="L11" s="15"/>
      <c r="M11" s="17"/>
    </row>
    <row r="12" spans="1:13" ht="15.75" x14ac:dyDescent="0.25">
      <c r="A12" s="19" t="s">
        <v>15</v>
      </c>
      <c r="B12" s="31">
        <v>855</v>
      </c>
      <c r="C12" s="32">
        <f t="shared" si="0"/>
        <v>0.12579079005443577</v>
      </c>
      <c r="D12" s="32">
        <v>0.1215</v>
      </c>
      <c r="E12" s="32">
        <f t="shared" si="1"/>
        <v>4.290790054435778E-3</v>
      </c>
      <c r="F12" s="33">
        <v>138985.12818</v>
      </c>
      <c r="G12" s="13"/>
      <c r="H12" s="13"/>
      <c r="I12" s="16"/>
      <c r="L12" s="15"/>
      <c r="M12" s="17"/>
    </row>
    <row r="13" spans="1:13" ht="15.75" x14ac:dyDescent="0.25">
      <c r="A13" s="19" t="s">
        <v>16</v>
      </c>
      <c r="B13" s="31">
        <v>205</v>
      </c>
      <c r="C13" s="32">
        <f t="shared" si="0"/>
        <v>3.0160364866853022E-2</v>
      </c>
      <c r="D13" s="32">
        <v>1.72E-2</v>
      </c>
      <c r="E13" s="32">
        <f t="shared" si="1"/>
        <v>1.2960364866853022E-2</v>
      </c>
      <c r="F13" s="33">
        <v>8965.9416959999999</v>
      </c>
      <c r="I13" s="16"/>
      <c r="L13" s="15"/>
      <c r="M13" s="17"/>
    </row>
    <row r="14" spans="1:13" ht="15.75" x14ac:dyDescent="0.25">
      <c r="A14" s="19" t="s">
        <v>17</v>
      </c>
      <c r="B14" s="31">
        <v>82</v>
      </c>
      <c r="C14" s="32">
        <f t="shared" si="0"/>
        <v>1.206414594674121E-2</v>
      </c>
      <c r="D14" s="32">
        <v>1.11E-2</v>
      </c>
      <c r="E14" s="32">
        <f t="shared" si="1"/>
        <v>9.6414594674120932E-4</v>
      </c>
      <c r="F14" s="33">
        <v>5946.886716</v>
      </c>
      <c r="G14" s="13"/>
      <c r="H14" s="13"/>
      <c r="I14" s="16"/>
      <c r="L14" s="15"/>
      <c r="M14" s="17"/>
    </row>
    <row r="15" spans="1:13" ht="15.75" x14ac:dyDescent="0.25">
      <c r="A15" s="19" t="s">
        <v>18</v>
      </c>
      <c r="B15" s="31">
        <v>7</v>
      </c>
      <c r="C15" s="32">
        <f t="shared" si="0"/>
        <v>1.0298661174047373E-3</v>
      </c>
      <c r="D15" s="32">
        <v>3.0000000000000001E-3</v>
      </c>
      <c r="E15" s="32">
        <f t="shared" si="1"/>
        <v>-1.9701338825952627E-3</v>
      </c>
      <c r="F15" s="33">
        <v>4083.3261600000001</v>
      </c>
      <c r="G15" s="13"/>
      <c r="H15" s="13"/>
      <c r="I15" s="16"/>
      <c r="L15" s="15"/>
      <c r="M15" s="17"/>
    </row>
    <row r="16" spans="1:13" ht="15.75" x14ac:dyDescent="0.25">
      <c r="A16" s="19" t="s">
        <v>19</v>
      </c>
      <c r="B16" s="31">
        <v>11</v>
      </c>
      <c r="C16" s="32">
        <f t="shared" si="0"/>
        <v>1.6183610416360158E-3</v>
      </c>
      <c r="D16" s="32">
        <v>2.0999999999999999E-3</v>
      </c>
      <c r="E16" s="32">
        <f t="shared" si="1"/>
        <v>-4.8163895836398404E-4</v>
      </c>
      <c r="F16" s="33">
        <v>2827.920564</v>
      </c>
      <c r="G16" s="13"/>
      <c r="H16" s="13"/>
      <c r="I16" s="16"/>
      <c r="L16" s="15"/>
      <c r="M16" s="17"/>
    </row>
    <row r="17" spans="1:13" ht="15.75" x14ac:dyDescent="0.25">
      <c r="A17" s="19" t="s">
        <v>20</v>
      </c>
      <c r="B17" s="31">
        <v>14</v>
      </c>
      <c r="C17" s="32">
        <f t="shared" si="0"/>
        <v>2.0597322348094747E-3</v>
      </c>
      <c r="D17" s="32">
        <v>6.3799999999999996E-2</v>
      </c>
      <c r="E17" s="32">
        <f t="shared" si="1"/>
        <v>-6.1740267765190524E-2</v>
      </c>
      <c r="F17" s="33">
        <v>23557.316771999998</v>
      </c>
      <c r="G17" s="13"/>
      <c r="H17" s="13"/>
      <c r="I17" s="16"/>
      <c r="L17" s="15"/>
      <c r="M17" s="17"/>
    </row>
    <row r="18" spans="1:13" ht="15.75" x14ac:dyDescent="0.25">
      <c r="A18" s="19" t="s">
        <v>21</v>
      </c>
      <c r="B18" s="31">
        <v>20</v>
      </c>
      <c r="C18" s="32">
        <f t="shared" si="0"/>
        <v>2.9424746211563924E-3</v>
      </c>
      <c r="D18" s="32">
        <v>3.1899999999999998E-2</v>
      </c>
      <c r="E18" s="32">
        <f t="shared" si="1"/>
        <v>-2.8957525378843607E-2</v>
      </c>
      <c r="F18" s="33">
        <v>22402.546341999998</v>
      </c>
      <c r="G18" s="13"/>
      <c r="H18" s="13"/>
      <c r="I18" s="16"/>
      <c r="L18" s="15"/>
      <c r="M18" s="17"/>
    </row>
    <row r="19" spans="1:13" ht="15.75" x14ac:dyDescent="0.25">
      <c r="A19" s="19" t="s">
        <v>22</v>
      </c>
      <c r="B19" s="31">
        <v>10</v>
      </c>
      <c r="C19" s="32">
        <f t="shared" si="0"/>
        <v>1.4712373105781962E-3</v>
      </c>
      <c r="D19" s="32">
        <v>4.4000000000000003E-3</v>
      </c>
      <c r="E19" s="32">
        <f t="shared" si="1"/>
        <v>-2.9287626894218041E-3</v>
      </c>
      <c r="F19" s="33">
        <v>5861.4554239999998</v>
      </c>
      <c r="G19" s="13"/>
      <c r="H19" s="13"/>
      <c r="I19" s="16"/>
      <c r="L19" s="15"/>
      <c r="M19" s="17"/>
    </row>
    <row r="20" spans="1:13" ht="15.75" x14ac:dyDescent="0.25">
      <c r="A20" s="19" t="s">
        <v>23</v>
      </c>
      <c r="B20" s="31">
        <v>57</v>
      </c>
      <c r="C20" s="32">
        <f t="shared" si="0"/>
        <v>8.386052670295718E-3</v>
      </c>
      <c r="D20" s="32">
        <v>5.1999999999999998E-3</v>
      </c>
      <c r="E20" s="32">
        <f t="shared" si="1"/>
        <v>3.1860526702957182E-3</v>
      </c>
      <c r="F20" s="33">
        <v>6437.7546480000001</v>
      </c>
      <c r="G20" s="13"/>
      <c r="H20" s="13"/>
      <c r="I20" s="16"/>
      <c r="L20" s="15"/>
      <c r="M20" s="17"/>
    </row>
    <row r="21" spans="1:13" ht="15.75" x14ac:dyDescent="0.25">
      <c r="A21" s="19" t="s">
        <v>24</v>
      </c>
      <c r="B21" s="31">
        <v>474</v>
      </c>
      <c r="C21" s="32">
        <f t="shared" si="0"/>
        <v>6.97366485214065E-2</v>
      </c>
      <c r="D21" s="32">
        <v>3.9600000000000003E-2</v>
      </c>
      <c r="E21" s="32">
        <f t="shared" si="1"/>
        <v>3.0136648521406496E-2</v>
      </c>
      <c r="F21" s="33">
        <v>25229.742912000002</v>
      </c>
      <c r="G21" s="13"/>
      <c r="H21" s="13"/>
      <c r="I21" s="16"/>
      <c r="L21" s="15"/>
      <c r="M21" s="17"/>
    </row>
    <row r="22" spans="1:13" ht="15.75" x14ac:dyDescent="0.25">
      <c r="A22" s="19" t="s">
        <v>25</v>
      </c>
      <c r="B22" s="31">
        <v>280</v>
      </c>
      <c r="C22" s="32">
        <f t="shared" si="0"/>
        <v>4.1194644696189497E-2</v>
      </c>
      <c r="D22" s="32">
        <v>2.0500000000000001E-2</v>
      </c>
      <c r="E22" s="32">
        <f t="shared" si="1"/>
        <v>2.0694644696189497E-2</v>
      </c>
      <c r="F22" s="33">
        <v>10092.476360000001</v>
      </c>
      <c r="G22" s="13"/>
      <c r="H22" s="13"/>
      <c r="I22" s="16"/>
      <c r="L22" s="15"/>
      <c r="M22" s="17"/>
    </row>
    <row r="23" spans="1:13" ht="15.75" x14ac:dyDescent="0.25">
      <c r="A23" s="19" t="s">
        <v>26</v>
      </c>
      <c r="B23" s="31">
        <v>3</v>
      </c>
      <c r="C23" s="32">
        <f t="shared" si="0"/>
        <v>4.4137119317345886E-4</v>
      </c>
      <c r="D23" s="32">
        <v>9.7000000000000003E-3</v>
      </c>
      <c r="E23" s="32">
        <f t="shared" si="1"/>
        <v>-9.258628806826541E-3</v>
      </c>
      <c r="F23" s="33">
        <v>11447.069133999999</v>
      </c>
      <c r="G23" s="13"/>
      <c r="H23" s="13"/>
      <c r="I23" s="16"/>
      <c r="L23" s="15"/>
      <c r="M23" s="17"/>
    </row>
    <row r="24" spans="1:13" ht="15.75" x14ac:dyDescent="0.25">
      <c r="A24" s="19" t="s">
        <v>27</v>
      </c>
      <c r="B24" s="31">
        <v>2</v>
      </c>
      <c r="C24" s="32">
        <f t="shared" si="0"/>
        <v>2.9424746211563924E-4</v>
      </c>
      <c r="D24" s="32">
        <v>8.9999999999999993E-3</v>
      </c>
      <c r="E24" s="32">
        <f t="shared" si="1"/>
        <v>-8.7057525378843592E-3</v>
      </c>
      <c r="F24" s="33">
        <v>7297.85952</v>
      </c>
      <c r="G24" s="13"/>
      <c r="H24" s="13"/>
      <c r="I24" s="16"/>
      <c r="L24" s="15"/>
      <c r="M24" s="17"/>
    </row>
    <row r="25" spans="1:13" ht="15.75" x14ac:dyDescent="0.25">
      <c r="A25" s="19" t="s">
        <v>28</v>
      </c>
      <c r="B25" s="31">
        <v>161</v>
      </c>
      <c r="C25" s="32">
        <f t="shared" si="0"/>
        <v>2.368692070030896E-2</v>
      </c>
      <c r="D25" s="32">
        <v>1.37E-2</v>
      </c>
      <c r="E25" s="32">
        <f t="shared" si="1"/>
        <v>9.98692070030896E-3</v>
      </c>
      <c r="F25" s="33">
        <v>12795.145962000001</v>
      </c>
      <c r="G25" s="13"/>
      <c r="H25" s="13"/>
      <c r="I25" s="16"/>
      <c r="L25" s="15"/>
      <c r="M25" s="17"/>
    </row>
    <row r="26" spans="1:13" ht="15.75" x14ac:dyDescent="0.25">
      <c r="A26" s="19" t="s">
        <v>29</v>
      </c>
      <c r="B26" s="31">
        <v>132</v>
      </c>
      <c r="C26" s="32">
        <f t="shared" si="0"/>
        <v>1.9420332499632192E-2</v>
      </c>
      <c r="D26" s="32">
        <v>1.4500000000000001E-2</v>
      </c>
      <c r="E26" s="32">
        <f t="shared" si="1"/>
        <v>4.920332499632191E-3</v>
      </c>
      <c r="F26" s="33">
        <v>11232.766910000002</v>
      </c>
      <c r="G26" s="13"/>
      <c r="H26" s="13"/>
      <c r="I26" s="16"/>
      <c r="L26" s="15"/>
      <c r="M26" s="17"/>
    </row>
    <row r="27" spans="1:13" ht="15.75" x14ac:dyDescent="0.25">
      <c r="A27" s="19" t="s">
        <v>30</v>
      </c>
      <c r="B27" s="31">
        <v>22</v>
      </c>
      <c r="C27" s="32">
        <f t="shared" si="0"/>
        <v>3.2367220832720317E-3</v>
      </c>
      <c r="D27" s="32">
        <v>4.1000000000000003E-3</v>
      </c>
      <c r="E27" s="32">
        <f t="shared" si="1"/>
        <v>-8.6327791672796868E-4</v>
      </c>
      <c r="F27" s="33">
        <v>3651.1017420000003</v>
      </c>
      <c r="G27" s="13"/>
      <c r="H27" s="13"/>
      <c r="I27" s="16"/>
      <c r="L27" s="15"/>
      <c r="M27" s="17"/>
    </row>
    <row r="28" spans="1:13" ht="15.75" x14ac:dyDescent="0.25">
      <c r="A28" s="19" t="s">
        <v>31</v>
      </c>
      <c r="B28" s="31">
        <v>182</v>
      </c>
      <c r="C28" s="32">
        <f t="shared" si="0"/>
        <v>2.6776519052523172E-2</v>
      </c>
      <c r="D28" s="32">
        <v>1.8599999999999998E-2</v>
      </c>
      <c r="E28" s="32">
        <f t="shared" si="1"/>
        <v>8.1765190525231735E-3</v>
      </c>
      <c r="F28" s="33">
        <v>22219.375859999996</v>
      </c>
      <c r="G28" s="13"/>
      <c r="H28" s="13"/>
      <c r="I28" s="16"/>
      <c r="L28" s="15"/>
      <c r="M28" s="17"/>
    </row>
    <row r="29" spans="1:13" ht="15.75" x14ac:dyDescent="0.25">
      <c r="A29" s="19" t="s">
        <v>32</v>
      </c>
      <c r="B29" s="31">
        <v>121</v>
      </c>
      <c r="C29" s="32">
        <f t="shared" si="0"/>
        <v>1.7801971457996175E-2</v>
      </c>
      <c r="D29" s="32">
        <v>2.1100000000000001E-2</v>
      </c>
      <c r="E29" s="32">
        <f t="shared" si="1"/>
        <v>-3.2980285420038252E-3</v>
      </c>
      <c r="F29" s="33">
        <v>27039.003918000002</v>
      </c>
      <c r="G29" s="13"/>
      <c r="H29" s="13"/>
      <c r="I29" s="16"/>
      <c r="L29" s="15"/>
      <c r="M29" s="17"/>
    </row>
    <row r="30" spans="1:13" ht="15.75" x14ac:dyDescent="0.25">
      <c r="A30" s="19" t="s">
        <v>33</v>
      </c>
      <c r="B30" s="31">
        <v>59</v>
      </c>
      <c r="C30" s="32">
        <f t="shared" si="0"/>
        <v>8.6803001324113581E-3</v>
      </c>
      <c r="D30" s="32">
        <v>3.0700000000000002E-2</v>
      </c>
      <c r="E30" s="32">
        <f t="shared" si="1"/>
        <v>-2.2019699867588644E-2</v>
      </c>
      <c r="F30" s="33">
        <v>26005.140486</v>
      </c>
      <c r="G30" s="13"/>
      <c r="H30" s="13"/>
      <c r="I30" s="16"/>
      <c r="L30" s="15"/>
      <c r="M30" s="17"/>
    </row>
    <row r="31" spans="1:13" ht="15.75" x14ac:dyDescent="0.25">
      <c r="A31" s="19" t="s">
        <v>34</v>
      </c>
      <c r="B31" s="31">
        <v>202</v>
      </c>
      <c r="C31" s="32">
        <f t="shared" si="0"/>
        <v>2.9718993673679566E-2</v>
      </c>
      <c r="D31" s="32">
        <v>1.7100000000000001E-2</v>
      </c>
      <c r="E31" s="32">
        <f t="shared" si="1"/>
        <v>1.2618993673679565E-2</v>
      </c>
      <c r="F31" s="33">
        <v>13123.115244000001</v>
      </c>
      <c r="G31" s="13"/>
      <c r="H31" s="13"/>
      <c r="I31" s="16"/>
      <c r="L31" s="15"/>
      <c r="M31" s="17"/>
    </row>
    <row r="32" spans="1:13" ht="15.75" x14ac:dyDescent="0.25">
      <c r="A32" s="19" t="s">
        <v>35</v>
      </c>
      <c r="B32" s="31">
        <v>114</v>
      </c>
      <c r="C32" s="32">
        <f t="shared" si="0"/>
        <v>1.6772105340591436E-2</v>
      </c>
      <c r="D32" s="32">
        <v>9.2999999999999992E-3</v>
      </c>
      <c r="E32" s="32">
        <f t="shared" si="1"/>
        <v>7.4721053405914367E-3</v>
      </c>
      <c r="F32" s="33">
        <v>9426.4018799999994</v>
      </c>
      <c r="G32" s="13"/>
      <c r="H32" s="13"/>
      <c r="I32" s="16"/>
      <c r="L32" s="15"/>
      <c r="M32" s="17"/>
    </row>
    <row r="33" spans="1:13" ht="15.75" x14ac:dyDescent="0.25">
      <c r="A33" s="19" t="s">
        <v>36</v>
      </c>
      <c r="B33" s="31">
        <v>136</v>
      </c>
      <c r="C33" s="32">
        <f t="shared" si="0"/>
        <v>2.0008827423863468E-2</v>
      </c>
      <c r="D33" s="32">
        <v>1.89E-2</v>
      </c>
      <c r="E33" s="32">
        <f t="shared" si="1"/>
        <v>1.1088274238634684E-3</v>
      </c>
      <c r="F33" s="33">
        <v>16693.853651999998</v>
      </c>
      <c r="G33" s="13"/>
      <c r="H33" s="13"/>
      <c r="I33" s="16"/>
      <c r="L33" s="15"/>
      <c r="M33" s="17"/>
    </row>
    <row r="34" spans="1:13" ht="15.75" x14ac:dyDescent="0.25">
      <c r="A34" s="19" t="s">
        <v>37</v>
      </c>
      <c r="B34" s="31">
        <v>17</v>
      </c>
      <c r="C34" s="32">
        <f t="shared" si="0"/>
        <v>2.5011034279829336E-3</v>
      </c>
      <c r="D34" s="32">
        <v>3.2000000000000002E-3</v>
      </c>
      <c r="E34" s="32">
        <f t="shared" si="1"/>
        <v>-6.9889657201706659E-4</v>
      </c>
      <c r="F34" s="33">
        <v>3336.1643520000002</v>
      </c>
      <c r="G34" s="13"/>
      <c r="H34" s="13"/>
      <c r="I34" s="16"/>
      <c r="L34" s="15"/>
      <c r="M34" s="17"/>
    </row>
    <row r="35" spans="1:13" ht="15.75" x14ac:dyDescent="0.25">
      <c r="A35" s="19" t="s">
        <v>38</v>
      </c>
      <c r="B35" s="31">
        <v>17</v>
      </c>
      <c r="C35" s="32">
        <f t="shared" si="0"/>
        <v>2.5011034279829336E-3</v>
      </c>
      <c r="D35" s="32">
        <v>5.8999999999999999E-3</v>
      </c>
      <c r="E35" s="32">
        <f t="shared" si="1"/>
        <v>-3.3988965720170663E-3</v>
      </c>
      <c r="F35" s="33">
        <v>5638.4652720000004</v>
      </c>
      <c r="G35" s="13"/>
      <c r="H35" s="13"/>
      <c r="I35" s="16"/>
      <c r="L35" s="15"/>
      <c r="M35" s="17"/>
    </row>
    <row r="36" spans="1:13" ht="15.75" x14ac:dyDescent="0.25">
      <c r="A36" s="19" t="s">
        <v>39</v>
      </c>
      <c r="B36" s="31">
        <v>104</v>
      </c>
      <c r="C36" s="32">
        <f t="shared" si="0"/>
        <v>1.5300868030013241E-2</v>
      </c>
      <c r="D36" s="32">
        <v>9.1000000000000004E-3</v>
      </c>
      <c r="E36" s="32">
        <f t="shared" si="1"/>
        <v>6.2008680300132402E-3</v>
      </c>
      <c r="F36" s="33">
        <v>4084.774148</v>
      </c>
      <c r="G36" s="13"/>
      <c r="H36" s="13"/>
      <c r="I36" s="16"/>
      <c r="L36" s="15"/>
      <c r="M36" s="17"/>
    </row>
    <row r="37" spans="1:13" ht="15.75" x14ac:dyDescent="0.25">
      <c r="A37" s="19" t="s">
        <v>40</v>
      </c>
      <c r="B37" s="31">
        <v>6</v>
      </c>
      <c r="C37" s="32">
        <f t="shared" si="0"/>
        <v>8.8274238634691773E-4</v>
      </c>
      <c r="D37" s="32">
        <v>4.1000000000000003E-3</v>
      </c>
      <c r="E37" s="32">
        <f t="shared" si="1"/>
        <v>-3.2172576136530826E-3</v>
      </c>
      <c r="F37" s="33">
        <v>2166.9140420000003</v>
      </c>
      <c r="G37" s="13"/>
      <c r="H37" s="13"/>
      <c r="I37" s="16"/>
      <c r="L37" s="15"/>
      <c r="M37" s="17"/>
    </row>
    <row r="38" spans="1:13" ht="15.75" x14ac:dyDescent="0.25">
      <c r="A38" s="19" t="s">
        <v>41</v>
      </c>
      <c r="B38" s="31">
        <v>188</v>
      </c>
      <c r="C38" s="32">
        <f t="shared" si="0"/>
        <v>2.7659261438870091E-2</v>
      </c>
      <c r="D38" s="32">
        <v>2.7699999999999999E-2</v>
      </c>
      <c r="E38" s="32">
        <f t="shared" si="1"/>
        <v>-4.0738561129908396E-5</v>
      </c>
      <c r="F38" s="33">
        <v>16244.253377999999</v>
      </c>
      <c r="G38" s="13"/>
      <c r="H38" s="13"/>
      <c r="I38" s="16"/>
      <c r="L38" s="15"/>
      <c r="M38" s="17"/>
    </row>
    <row r="39" spans="1:13" ht="15.75" x14ac:dyDescent="0.25">
      <c r="A39" s="19" t="s">
        <v>42</v>
      </c>
      <c r="B39" s="31">
        <v>14</v>
      </c>
      <c r="C39" s="32">
        <f t="shared" si="0"/>
        <v>2.0597322348094747E-3</v>
      </c>
      <c r="D39" s="32">
        <v>6.4000000000000003E-3</v>
      </c>
      <c r="E39" s="32">
        <f t="shared" si="1"/>
        <v>-4.3402677651905256E-3</v>
      </c>
      <c r="F39" s="33">
        <v>3892.1917439999997</v>
      </c>
      <c r="G39" s="13"/>
      <c r="H39" s="13"/>
      <c r="I39" s="16"/>
      <c r="L39" s="15"/>
      <c r="M39" s="17"/>
    </row>
    <row r="40" spans="1:13" ht="15.75" x14ac:dyDescent="0.25">
      <c r="A40" s="19" t="s">
        <v>43</v>
      </c>
      <c r="B40" s="31">
        <v>663</v>
      </c>
      <c r="C40" s="32">
        <f t="shared" si="0"/>
        <v>9.7543033691334408E-2</v>
      </c>
      <c r="D40" s="32">
        <v>6.1100000000000002E-2</v>
      </c>
      <c r="E40" s="32">
        <f t="shared" si="1"/>
        <v>3.6443033691334406E-2</v>
      </c>
      <c r="F40" s="33">
        <v>23445.097702000003</v>
      </c>
      <c r="G40" s="13"/>
      <c r="H40" s="13"/>
      <c r="I40" s="16"/>
      <c r="L40" s="15"/>
      <c r="M40" s="17"/>
    </row>
    <row r="41" spans="1:13" ht="15.75" x14ac:dyDescent="0.25">
      <c r="A41" s="19" t="s">
        <v>44</v>
      </c>
      <c r="B41" s="31">
        <v>83</v>
      </c>
      <c r="C41" s="32">
        <f t="shared" si="0"/>
        <v>1.2211269677799029E-2</v>
      </c>
      <c r="D41" s="32">
        <v>3.1399999999999997E-2</v>
      </c>
      <c r="E41" s="32">
        <f t="shared" si="1"/>
        <v>-1.9188730322200968E-2</v>
      </c>
      <c r="F41" s="33">
        <v>16595.390467999998</v>
      </c>
      <c r="G41" s="13"/>
      <c r="H41" s="13"/>
      <c r="I41" s="16"/>
      <c r="L41" s="15"/>
      <c r="M41" s="17"/>
    </row>
    <row r="42" spans="1:13" ht="15.75" x14ac:dyDescent="0.25">
      <c r="A42" s="19" t="s">
        <v>45</v>
      </c>
      <c r="B42" s="31">
        <v>5</v>
      </c>
      <c r="C42" s="32">
        <f t="shared" si="0"/>
        <v>7.3561865528909811E-4</v>
      </c>
      <c r="D42" s="32">
        <v>2.3999999999999998E-3</v>
      </c>
      <c r="E42" s="32">
        <f t="shared" si="1"/>
        <v>-1.6643813447109017E-3</v>
      </c>
      <c r="F42" s="33">
        <v>1789.713168</v>
      </c>
      <c r="G42" s="13"/>
      <c r="H42" s="13"/>
      <c r="I42" s="16"/>
      <c r="L42" s="15"/>
      <c r="M42" s="17"/>
    </row>
    <row r="43" spans="1:13" ht="15.75" x14ac:dyDescent="0.25">
      <c r="A43" s="19" t="s">
        <v>46</v>
      </c>
      <c r="B43" s="31">
        <v>160</v>
      </c>
      <c r="C43" s="32">
        <f t="shared" si="0"/>
        <v>2.3539796969251139E-2</v>
      </c>
      <c r="D43" s="32">
        <v>3.5900000000000001E-2</v>
      </c>
      <c r="E43" s="32">
        <f t="shared" si="1"/>
        <v>-1.2360203030748862E-2</v>
      </c>
      <c r="F43" s="33">
        <v>23392.246139999999</v>
      </c>
      <c r="I43" s="16"/>
      <c r="L43" s="15"/>
      <c r="M43" s="17"/>
    </row>
    <row r="44" spans="1:13" ht="15.75" x14ac:dyDescent="0.25">
      <c r="A44" s="19" t="s">
        <v>47</v>
      </c>
      <c r="B44" s="31">
        <v>86</v>
      </c>
      <c r="C44" s="32">
        <f t="shared" si="0"/>
        <v>1.2652640870972488E-2</v>
      </c>
      <c r="D44" s="32">
        <v>1.21E-2</v>
      </c>
      <c r="E44" s="32">
        <f t="shared" si="1"/>
        <v>5.5264087097248865E-4</v>
      </c>
      <c r="F44" s="33">
        <v>6395.0390019999995</v>
      </c>
      <c r="G44" s="13"/>
      <c r="H44" s="13"/>
      <c r="I44" s="16"/>
      <c r="L44" s="15"/>
      <c r="M44" s="17"/>
    </row>
    <row r="45" spans="1:13" ht="15.75" x14ac:dyDescent="0.25">
      <c r="A45" s="19" t="s">
        <v>48</v>
      </c>
      <c r="B45" s="31">
        <v>192</v>
      </c>
      <c r="C45" s="32">
        <f t="shared" si="0"/>
        <v>2.8247756363101367E-2</v>
      </c>
      <c r="D45" s="32">
        <v>1.2699999999999999E-2</v>
      </c>
      <c r="E45" s="32">
        <f t="shared" si="1"/>
        <v>1.5547756363101368E-2</v>
      </c>
      <c r="F45" s="33">
        <v>13975.980176000001</v>
      </c>
      <c r="G45" s="13"/>
      <c r="H45" s="13"/>
      <c r="I45" s="16"/>
      <c r="L45" s="15"/>
      <c r="M45" s="17"/>
    </row>
    <row r="46" spans="1:13" ht="15.75" x14ac:dyDescent="0.25">
      <c r="A46" s="19" t="s">
        <v>49</v>
      </c>
      <c r="B46" s="31">
        <v>145</v>
      </c>
      <c r="C46" s="32">
        <f t="shared" si="0"/>
        <v>2.1332941003383846E-2</v>
      </c>
      <c r="D46" s="32">
        <v>3.9600000000000003E-2</v>
      </c>
      <c r="E46" s="32">
        <f t="shared" si="1"/>
        <v>-1.8267058996616157E-2</v>
      </c>
      <c r="F46" s="33">
        <v>24656.339663999999</v>
      </c>
      <c r="G46" s="13"/>
      <c r="H46" s="13"/>
      <c r="I46" s="16"/>
      <c r="L46" s="15"/>
      <c r="M46" s="17"/>
    </row>
    <row r="47" spans="1:13" ht="15.75" x14ac:dyDescent="0.25">
      <c r="A47" s="19" t="s">
        <v>50</v>
      </c>
      <c r="B47" s="31">
        <v>20</v>
      </c>
      <c r="C47" s="32">
        <f t="shared" si="0"/>
        <v>2.9424746211563924E-3</v>
      </c>
      <c r="D47" s="32">
        <v>1.06E-2</v>
      </c>
      <c r="E47" s="32">
        <f t="shared" si="1"/>
        <v>-7.6575253788436076E-3</v>
      </c>
      <c r="F47" s="33">
        <v>14888.212615999999</v>
      </c>
      <c r="G47" s="13"/>
      <c r="H47" s="13"/>
      <c r="I47" s="16"/>
      <c r="L47" s="15"/>
      <c r="M47" s="17"/>
    </row>
    <row r="48" spans="1:13" ht="15.75" x14ac:dyDescent="0.25">
      <c r="A48" s="19" t="s">
        <v>51</v>
      </c>
      <c r="B48" s="31">
        <v>31</v>
      </c>
      <c r="C48" s="32">
        <f t="shared" si="0"/>
        <v>4.5608356627924087E-3</v>
      </c>
      <c r="D48" s="32">
        <v>3.3E-3</v>
      </c>
      <c r="E48" s="32">
        <f t="shared" si="1"/>
        <v>1.2608356627924087E-3</v>
      </c>
      <c r="F48" s="33">
        <v>4276.6325580000002</v>
      </c>
      <c r="G48" s="13"/>
      <c r="H48" s="13"/>
      <c r="I48" s="16"/>
      <c r="L48" s="15"/>
      <c r="M48" s="17"/>
    </row>
    <row r="49" spans="1:13" ht="15.75" x14ac:dyDescent="0.25">
      <c r="A49" s="19" t="s">
        <v>52</v>
      </c>
      <c r="B49" s="31">
        <v>160</v>
      </c>
      <c r="C49" s="32">
        <f t="shared" si="0"/>
        <v>2.3539796969251139E-2</v>
      </c>
      <c r="D49" s="32">
        <v>1.54E-2</v>
      </c>
      <c r="E49" s="32">
        <f t="shared" si="1"/>
        <v>8.1397969692511389E-3</v>
      </c>
      <c r="F49" s="33">
        <v>17058.746628000001</v>
      </c>
      <c r="G49" s="13"/>
      <c r="H49" s="13"/>
      <c r="I49" s="16"/>
      <c r="L49" s="15"/>
      <c r="M49" s="17"/>
    </row>
    <row r="50" spans="1:13" ht="15.75" x14ac:dyDescent="0.25">
      <c r="A50" s="19" t="s">
        <v>53</v>
      </c>
      <c r="B50" s="31">
        <v>35</v>
      </c>
      <c r="C50" s="32">
        <f t="shared" si="0"/>
        <v>5.1493305870236872E-3</v>
      </c>
      <c r="D50" s="32">
        <v>2.7000000000000001E-3</v>
      </c>
      <c r="E50" s="32">
        <f t="shared" si="1"/>
        <v>2.449330587023687E-3</v>
      </c>
      <c r="F50" s="33">
        <v>3010.3670520000001</v>
      </c>
      <c r="G50" s="13"/>
      <c r="H50" s="13"/>
      <c r="I50" s="16"/>
      <c r="L50" s="15"/>
      <c r="M50" s="17"/>
    </row>
    <row r="51" spans="1:13" ht="15.75" x14ac:dyDescent="0.25">
      <c r="A51" s="19" t="s">
        <v>54</v>
      </c>
      <c r="B51" s="31">
        <v>41</v>
      </c>
      <c r="C51" s="32">
        <f t="shared" si="0"/>
        <v>6.0320729733706049E-3</v>
      </c>
      <c r="D51" s="32">
        <v>2.06E-2</v>
      </c>
      <c r="E51" s="32">
        <f t="shared" si="1"/>
        <v>-1.4567927026629394E-2</v>
      </c>
      <c r="F51" s="33">
        <v>11931.421120000001</v>
      </c>
      <c r="G51" s="13"/>
      <c r="H51" s="13"/>
      <c r="I51" s="16"/>
      <c r="L51" s="15"/>
      <c r="M51" s="17"/>
    </row>
    <row r="52" spans="1:13" ht="15.75" x14ac:dyDescent="0.25">
      <c r="A52" s="19" t="s">
        <v>55</v>
      </c>
      <c r="B52" s="31">
        <v>420</v>
      </c>
      <c r="C52" s="32">
        <f t="shared" si="0"/>
        <v>6.1791967044284246E-2</v>
      </c>
      <c r="D52" s="32">
        <v>8.6199999999999999E-2</v>
      </c>
      <c r="E52" s="32">
        <f t="shared" si="1"/>
        <v>-2.4408032955715753E-2</v>
      </c>
      <c r="F52" s="33">
        <v>86123.430263999995</v>
      </c>
      <c r="G52" s="13"/>
      <c r="H52" s="13"/>
      <c r="I52" s="16"/>
      <c r="L52" s="15"/>
      <c r="M52" s="17"/>
    </row>
    <row r="53" spans="1:13" ht="15.75" x14ac:dyDescent="0.25">
      <c r="A53" s="19" t="s">
        <v>56</v>
      </c>
      <c r="B53" s="31">
        <v>139</v>
      </c>
      <c r="C53" s="32">
        <f t="shared" si="0"/>
        <v>2.0450198617036928E-2</v>
      </c>
      <c r="D53" s="32">
        <v>9.4000000000000004E-3</v>
      </c>
      <c r="E53" s="32">
        <f t="shared" si="1"/>
        <v>1.1050198617036927E-2</v>
      </c>
      <c r="F53" s="33">
        <v>7894.4305759999997</v>
      </c>
      <c r="G53" s="13"/>
      <c r="H53" s="13"/>
      <c r="I53" s="16"/>
      <c r="L53" s="15"/>
      <c r="M53" s="17"/>
    </row>
    <row r="54" spans="1:13" ht="15.75" x14ac:dyDescent="0.25">
      <c r="A54" s="19" t="s">
        <v>57</v>
      </c>
      <c r="B54" s="31">
        <v>16</v>
      </c>
      <c r="C54" s="32">
        <f t="shared" si="0"/>
        <v>2.3539796969251139E-3</v>
      </c>
      <c r="D54" s="32">
        <v>1.9E-3</v>
      </c>
      <c r="E54" s="32">
        <f t="shared" si="1"/>
        <v>4.5397969692511394E-4</v>
      </c>
      <c r="F54" s="33">
        <v>1994.60347</v>
      </c>
      <c r="G54" s="13"/>
      <c r="H54" s="13"/>
      <c r="I54" s="16"/>
      <c r="L54" s="15"/>
      <c r="M54" s="17"/>
    </row>
    <row r="55" spans="1:13" ht="15.75" x14ac:dyDescent="0.25">
      <c r="A55" s="19" t="s">
        <v>58</v>
      </c>
      <c r="B55" s="31">
        <v>198</v>
      </c>
      <c r="C55" s="32">
        <f t="shared" si="0"/>
        <v>2.9130498749448286E-2</v>
      </c>
      <c r="D55" s="32">
        <v>2.5999999999999999E-2</v>
      </c>
      <c r="E55" s="32">
        <f t="shared" si="1"/>
        <v>3.1304987494482871E-3</v>
      </c>
      <c r="F55" s="33">
        <v>31059.342599999996</v>
      </c>
      <c r="G55" s="13"/>
      <c r="H55" s="13"/>
      <c r="I55" s="16"/>
      <c r="L55" s="15"/>
      <c r="M55" s="17"/>
    </row>
    <row r="56" spans="1:13" ht="15.75" x14ac:dyDescent="0.25">
      <c r="A56" s="19" t="s">
        <v>59</v>
      </c>
      <c r="B56" s="31">
        <v>87</v>
      </c>
      <c r="C56" s="32">
        <f t="shared" si="0"/>
        <v>1.2799764602030307E-2</v>
      </c>
      <c r="D56" s="32">
        <v>2.2599999999999999E-2</v>
      </c>
      <c r="E56" s="32">
        <f t="shared" si="1"/>
        <v>-9.8002353979696911E-3</v>
      </c>
      <c r="F56" s="33">
        <v>24379.773956000001</v>
      </c>
      <c r="G56" s="13"/>
      <c r="H56" s="13"/>
      <c r="I56" s="16"/>
      <c r="L56" s="15"/>
      <c r="M56" s="17"/>
    </row>
    <row r="57" spans="1:13" ht="15.75" x14ac:dyDescent="0.25">
      <c r="A57" s="19" t="s">
        <v>60</v>
      </c>
      <c r="B57" s="31">
        <v>49</v>
      </c>
      <c r="C57" s="32">
        <f t="shared" si="0"/>
        <v>7.2090628218331619E-3</v>
      </c>
      <c r="D57" s="32">
        <v>5.7000000000000002E-3</v>
      </c>
      <c r="E57" s="32">
        <f t="shared" si="1"/>
        <v>1.5090628218331617E-3</v>
      </c>
      <c r="F57" s="33">
        <v>7304.3754660000013</v>
      </c>
      <c r="G57" s="13"/>
      <c r="H57" s="13"/>
      <c r="I57" s="16"/>
      <c r="L57" s="15"/>
      <c r="M57" s="17"/>
    </row>
    <row r="58" spans="1:13" ht="15.75" x14ac:dyDescent="0.25">
      <c r="A58" s="19" t="s">
        <v>61</v>
      </c>
      <c r="B58" s="31">
        <v>215</v>
      </c>
      <c r="C58" s="32">
        <f t="shared" si="0"/>
        <v>3.1631602177431217E-2</v>
      </c>
      <c r="D58" s="32">
        <v>1.7899999999999999E-2</v>
      </c>
      <c r="E58" s="32">
        <f t="shared" si="1"/>
        <v>1.3731602177431218E-2</v>
      </c>
      <c r="F58" s="33">
        <v>19698.428752</v>
      </c>
      <c r="G58" s="13"/>
      <c r="H58" s="13"/>
      <c r="I58" s="16"/>
      <c r="L58" s="15"/>
      <c r="M58" s="17"/>
    </row>
    <row r="59" spans="1:13" ht="15.75" x14ac:dyDescent="0.25">
      <c r="A59" s="19" t="s">
        <v>62</v>
      </c>
      <c r="B59" s="31">
        <v>18</v>
      </c>
      <c r="C59" s="32">
        <f t="shared" si="0"/>
        <v>2.6482271590407532E-3</v>
      </c>
      <c r="D59" s="32">
        <v>1.8E-3</v>
      </c>
      <c r="E59" s="32">
        <f t="shared" si="1"/>
        <v>8.4822715904075323E-4</v>
      </c>
      <c r="F59" s="33">
        <v>1094.6789279999998</v>
      </c>
      <c r="G59" s="13"/>
      <c r="H59" s="13"/>
      <c r="I59" s="16"/>
      <c r="L59" s="15"/>
      <c r="M59" s="17"/>
    </row>
    <row r="60" spans="1:13" ht="15.75" thickBot="1" x14ac:dyDescent="0.3">
      <c r="B60" s="34">
        <f>SUM(B8:B59)</f>
        <v>6797</v>
      </c>
      <c r="C60" s="35">
        <f>SUM(C8:C59)</f>
        <v>1.0000000000000002</v>
      </c>
      <c r="D60" s="14"/>
      <c r="E60" s="14"/>
      <c r="F60" s="36">
        <f>SUM(F8:F59)</f>
        <v>834253.94223599997</v>
      </c>
      <c r="G60" s="13"/>
      <c r="H60" s="13"/>
      <c r="I60" s="14"/>
    </row>
    <row r="61" spans="1:13" ht="15.75" thickTop="1" x14ac:dyDescent="0.25">
      <c r="D61" s="13" t="s">
        <v>10</v>
      </c>
      <c r="E61" s="13"/>
      <c r="G61" s="13"/>
      <c r="H61" s="13"/>
      <c r="I61" s="14"/>
    </row>
    <row r="62" spans="1:13" x14ac:dyDescent="0.25">
      <c r="D62" s="13"/>
      <c r="E62" s="13"/>
      <c r="I62" s="14"/>
    </row>
    <row r="63" spans="1:13" x14ac:dyDescent="0.25">
      <c r="D63" s="13"/>
      <c r="E63" s="13"/>
      <c r="G63" s="13"/>
      <c r="H63" s="13"/>
      <c r="I63" s="14"/>
    </row>
    <row r="64" spans="1:13" x14ac:dyDescent="0.25">
      <c r="D64" s="13"/>
      <c r="E64" s="13"/>
      <c r="G64" s="13"/>
      <c r="H64" s="13"/>
      <c r="I64" s="14"/>
    </row>
    <row r="65" spans="4:9" x14ac:dyDescent="0.25">
      <c r="D65" s="13"/>
      <c r="I65" s="14"/>
    </row>
    <row r="66" spans="4:9" x14ac:dyDescent="0.25">
      <c r="D66" s="13"/>
      <c r="I66" s="14"/>
    </row>
    <row r="67" spans="4:9" x14ac:dyDescent="0.25">
      <c r="D67" s="13"/>
      <c r="I67" s="14"/>
    </row>
    <row r="68" spans="4:9" x14ac:dyDescent="0.25">
      <c r="D68" s="13"/>
      <c r="I68" s="14"/>
    </row>
    <row r="69" spans="4:9" x14ac:dyDescent="0.25">
      <c r="I69" s="14"/>
    </row>
    <row r="70" spans="4:9" x14ac:dyDescent="0.25">
      <c r="E70" s="13"/>
      <c r="I70" s="14"/>
    </row>
    <row r="71" spans="4:9" x14ac:dyDescent="0.25">
      <c r="E71" s="13"/>
      <c r="I71" s="14"/>
    </row>
    <row r="72" spans="4:9" x14ac:dyDescent="0.25">
      <c r="I72" s="14"/>
    </row>
    <row r="73" spans="4:9" x14ac:dyDescent="0.25">
      <c r="D73" s="13"/>
      <c r="E73" s="13"/>
      <c r="I73" s="14"/>
    </row>
    <row r="74" spans="4:9" x14ac:dyDescent="0.25">
      <c r="D74" s="13"/>
      <c r="E74" s="13"/>
      <c r="G74" s="13"/>
      <c r="H74" s="13"/>
      <c r="I74" s="14"/>
    </row>
    <row r="75" spans="4:9" x14ac:dyDescent="0.25">
      <c r="D75" s="13"/>
      <c r="E75" s="13"/>
      <c r="I75" s="14"/>
    </row>
    <row r="76" spans="4:9" x14ac:dyDescent="0.25">
      <c r="D76" s="13"/>
      <c r="E76" s="13"/>
      <c r="I76" s="14"/>
    </row>
  </sheetData>
  <sortState xmlns:xlrd2="http://schemas.microsoft.com/office/spreadsheetml/2017/richdata2" ref="A8:J59">
    <sortCondition ref="A8"/>
  </sortState>
  <mergeCells count="2">
    <mergeCell ref="A1:F1"/>
    <mergeCell ref="A2:F2"/>
  </mergeCells>
  <conditionalFormatting sqref="D59">
    <cfRule type="cellIs" dxfId="6" priority="4" operator="greaterThan">
      <formula>0.02</formula>
    </cfRule>
    <cfRule type="cellIs" dxfId="5" priority="5" operator="lessThan">
      <formula>-0.01</formula>
    </cfRule>
  </conditionalFormatting>
  <conditionalFormatting sqref="E8:E60">
    <cfRule type="cellIs" dxfId="0" priority="2" operator="lessThan">
      <formula>-0.01</formula>
    </cfRule>
    <cfRule type="cellIs" dxfId="1" priority="1" operator="greaterThan">
      <formula>0.02</formula>
    </cfRule>
  </conditionalFormatting>
  <dataValidations count="1">
    <dataValidation allowBlank="1" error="pavI8MeUFtEyxX2I4tky0f39a7ba-a74f-4900-ba19-dd9777e1b344" sqref="A1:A76 G1:M76 B3:F76" xr:uid="{00000000-0002-0000-0100-000000000000}"/>
  </dataValidations>
  <pageMargins left="0.5" right="0.5" top="0.8" bottom="0.8" header="0.3" footer="0.3"/>
  <pageSetup orientation="landscape" r:id="rId1"/>
  <headerFooter>
    <oddFooter xml:space="preserve">&amp;LClass of 2025 Applications&amp;R&amp;P of &amp;N 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{0f39a7ba-a74f-4900-ba19-dd9777e1b344}</UserID>
  <AssignmentID>{0f39a7ba-a74f-4900-ba19-dd9777e1b344}</AssignmentID>
</GradingEngineProps>
</file>

<file path=customXml/itemProps1.xml><?xml version="1.0" encoding="utf-8"?>
<ds:datastoreItem xmlns:ds="http://schemas.openxmlformats.org/officeDocument/2006/customXml" ds:itemID="{3D4AF5B3-DB59-451F-B639-41E1985DB95D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Applications</vt:lpstr>
      <vt:lpstr>Applications!Print_Area</vt:lpstr>
      <vt:lpstr>Applications!Print_Titles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 Name</dc:creator>
  <cp:keywords>© 2020 Cengage Learning.</cp:keywords>
  <dc:description/>
  <cp:lastModifiedBy>Kwesi Koufie</cp:lastModifiedBy>
  <cp:lastPrinted>2022-02-03T03:34:32Z</cp:lastPrinted>
  <dcterms:created xsi:type="dcterms:W3CDTF">2015-06-05T18:17:20Z</dcterms:created>
  <dcterms:modified xsi:type="dcterms:W3CDTF">2022-02-03T03:34:46Z</dcterms:modified>
  <cp:category/>
</cp:coreProperties>
</file>